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paerotlse-my.sharepoint.com/personal/florian_mellab_isae-supaero_fr/Documents/ISAE-Supaero/Research Project/Image Processing Pipeline/images/15012026/"/>
    </mc:Choice>
  </mc:AlternateContent>
  <xr:revisionPtr revIDLastSave="21" documentId="11_B359F1C70BEBDD66308AC804D887377871040BAF" xr6:coauthVersionLast="47" xr6:coauthVersionMax="47" xr10:uidLastSave="{7281E0AA-6E95-439B-9290-628758F6D137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" i="1" l="1"/>
  <c r="Q15" i="1"/>
  <c r="Q14" i="1"/>
</calcChain>
</file>

<file path=xl/sharedStrings.xml><?xml version="1.0" encoding="utf-8"?>
<sst xmlns="http://schemas.openxmlformats.org/spreadsheetml/2006/main" count="16" uniqueCount="16">
  <si>
    <t>t_L</t>
  </si>
  <si>
    <t>pos_Y</t>
  </si>
  <si>
    <t>pos_X</t>
  </si>
  <si>
    <t>t_M</t>
  </si>
  <si>
    <t>Motor_I</t>
  </si>
  <si>
    <t>Motor_Pos</t>
  </si>
  <si>
    <t>Motor_Vel</t>
  </si>
  <si>
    <t>t_C_F</t>
  </si>
  <si>
    <t>t_C_R</t>
  </si>
  <si>
    <t>Low sinkage</t>
  </si>
  <si>
    <t>High sinkage</t>
  </si>
  <si>
    <t>Wheel radius</t>
  </si>
  <si>
    <t>delta</t>
  </si>
  <si>
    <t>% wheel radius</t>
  </si>
  <si>
    <t>Laser data</t>
  </si>
  <si>
    <t>Pipeline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</si>
</sst>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>
      <selection activeCell="S14" sqref="S14"/>
    </sheetView>
  </sheetViews>
  <sheetFormatPr defaultRowHeight="14.4" x14ac:dyDescent="0.3"/>
  <cols>
    <col min="1" max="1" width="9.6640625" customWidth="1"/>
    <col min="2" max="3" width="7.6640625" customWidth="1"/>
    <col min="4" max="4" width="9.6640625" customWidth="1"/>
    <col min="5" max="5" width="7.88671875" customWidth="1"/>
    <col min="6" max="6" width="10.21875" customWidth="1"/>
    <col min="7" max="7" width="9.88671875" customWidth="1"/>
    <col min="8" max="9" width="9.6640625" customWidth="1"/>
    <col min="13" max="13" width="12.88671875" customWidth="1"/>
    <col min="16" max="16" width="13.21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8" x14ac:dyDescent="0.3">
      <c r="A2">
        <v>2.2104800000000001E-2</v>
      </c>
      <c r="B2">
        <v>127.532</v>
      </c>
      <c r="C2">
        <v>478.98599999999999</v>
      </c>
      <c r="D2">
        <v>2.7983500000000001E-2</v>
      </c>
      <c r="E2">
        <v>-6</v>
      </c>
      <c r="F2">
        <v>144247</v>
      </c>
      <c r="G2">
        <v>0</v>
      </c>
      <c r="H2">
        <v>1.0616061000000001</v>
      </c>
      <c r="I2">
        <v>1.0659665</v>
      </c>
    </row>
    <row r="3" spans="1:18" x14ac:dyDescent="0.3">
      <c r="A3">
        <v>1.1241730999999999</v>
      </c>
      <c r="B3">
        <v>127.533</v>
      </c>
      <c r="C3">
        <v>478.976</v>
      </c>
      <c r="D3">
        <v>1.1309081000000001</v>
      </c>
      <c r="E3">
        <v>5</v>
      </c>
      <c r="F3">
        <v>144247</v>
      </c>
      <c r="G3">
        <v>0</v>
      </c>
      <c r="H3">
        <v>2.1682128000000001</v>
      </c>
      <c r="I3">
        <v>2.1722801999999999</v>
      </c>
    </row>
    <row r="4" spans="1:18" x14ac:dyDescent="0.3">
      <c r="A4">
        <v>2.2114446000000001</v>
      </c>
      <c r="B4">
        <v>127.53100000000001</v>
      </c>
      <c r="C4">
        <v>478.911</v>
      </c>
      <c r="D4">
        <v>2.2178855</v>
      </c>
      <c r="E4">
        <v>-6</v>
      </c>
      <c r="F4">
        <v>144247</v>
      </c>
      <c r="G4">
        <v>0</v>
      </c>
      <c r="H4">
        <v>3.2021405000000001</v>
      </c>
      <c r="I4">
        <v>3.2051791999999999</v>
      </c>
    </row>
    <row r="5" spans="1:18" x14ac:dyDescent="0.3">
      <c r="A5">
        <v>3.2366494000000001</v>
      </c>
      <c r="B5">
        <v>127.53100000000001</v>
      </c>
      <c r="C5">
        <v>478.983</v>
      </c>
      <c r="D5">
        <v>3.2430165</v>
      </c>
      <c r="E5">
        <v>-6</v>
      </c>
      <c r="F5">
        <v>144247</v>
      </c>
      <c r="G5">
        <v>0</v>
      </c>
      <c r="H5">
        <v>4.2405149</v>
      </c>
      <c r="I5">
        <v>4.2436483999999997</v>
      </c>
    </row>
    <row r="6" spans="1:18" x14ac:dyDescent="0.3">
      <c r="A6">
        <v>4.2717539000000002</v>
      </c>
      <c r="B6">
        <v>127.532</v>
      </c>
      <c r="C6">
        <v>478.923</v>
      </c>
      <c r="D6">
        <v>4.2782106999999998</v>
      </c>
      <c r="E6">
        <v>5</v>
      </c>
      <c r="F6">
        <v>144247</v>
      </c>
      <c r="G6">
        <v>0</v>
      </c>
      <c r="H6">
        <v>5.2696947999999999</v>
      </c>
      <c r="I6">
        <v>5.2739858999999996</v>
      </c>
    </row>
    <row r="13" spans="1:18" x14ac:dyDescent="0.3">
      <c r="Q13" t="s">
        <v>14</v>
      </c>
      <c r="R13" t="s">
        <v>15</v>
      </c>
    </row>
    <row r="14" spans="1:18" x14ac:dyDescent="0.3">
      <c r="M14" t="s">
        <v>9</v>
      </c>
      <c r="N14">
        <v>127.53</v>
      </c>
      <c r="P14" t="s">
        <v>12</v>
      </c>
      <c r="Q14">
        <f>N15-N14</f>
        <v>0.49000000000000909</v>
      </c>
    </row>
    <row r="15" spans="1:18" x14ac:dyDescent="0.3">
      <c r="M15" t="s">
        <v>10</v>
      </c>
      <c r="N15">
        <v>128.02000000000001</v>
      </c>
      <c r="P15" s="1" t="s">
        <v>13</v>
      </c>
      <c r="Q15" s="1">
        <f>Q14/N16*100</f>
        <v>0.56321839080460823</v>
      </c>
      <c r="R15" s="1">
        <f>34.7-24.6</f>
        <v>10.100000000000001</v>
      </c>
    </row>
    <row r="16" spans="1:18" x14ac:dyDescent="0.3">
      <c r="M16" t="s">
        <v>11</v>
      </c>
      <c r="N16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Florian MELLAB</cp:lastModifiedBy>
  <dcterms:modified xsi:type="dcterms:W3CDTF">2026-02-18T12:56:04Z</dcterms:modified>
</cp:coreProperties>
</file>